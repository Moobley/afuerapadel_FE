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ADC2015-AF53-4D19-8817-484E8FE352A7}" xr6:coauthVersionLast="47" xr6:coauthVersionMax="47" xr10:uidLastSave="{00000000-0000-0000-0000-000000000000}"/>
  <bookViews>
    <workbookView xWindow="3036" yWindow="3036" windowWidth="23040" windowHeight="12120" xr2:uid="{00000000-000D-0000-FFFF-FFFF00000000}"/>
    <workbookView xWindow="-108" yWindow="-108" windowWidth="30936" windowHeight="16776" xr2:uid="{00000000-000D-0000-FFFF-FFFF01000000}"/>
  </bookViews>
  <sheets>
    <sheet name="TABELLONE FINALE" sheetId="1" r:id="rId1"/>
    <sheet name="CELLE NOTEVO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C3" i="2"/>
  <c r="C4" i="2" s="1"/>
  <c r="C5" i="2" s="1"/>
  <c r="C6" i="2" s="1"/>
  <c r="G5" i="1"/>
  <c r="A4" i="1" l="1"/>
  <c r="A5" i="1" s="1"/>
  <c r="D2" i="1"/>
  <c r="D3" i="1" s="1"/>
  <c r="A6" i="1" l="1"/>
  <c r="A7" i="1" s="1"/>
  <c r="D4" i="1"/>
  <c r="A8" i="1" l="1"/>
  <c r="A9" i="1" s="1"/>
  <c r="D5" i="1"/>
  <c r="A10" i="1" l="1"/>
  <c r="D6" i="1"/>
  <c r="A11" i="1" l="1"/>
  <c r="D7" i="1"/>
  <c r="D8" i="1" s="1"/>
  <c r="A12" i="1" l="1"/>
  <c r="D9" i="1"/>
  <c r="A13" i="1" l="1"/>
  <c r="A14" i="1"/>
  <c r="A15" i="1" s="1"/>
  <c r="A16" i="1" s="1"/>
  <c r="D10" i="1"/>
  <c r="A17" i="1" l="1"/>
  <c r="D11" i="1"/>
  <c r="A18" i="1" l="1"/>
  <c r="D12" i="1"/>
  <c r="A19" i="1" l="1"/>
  <c r="D13" i="1"/>
  <c r="A20" i="1" l="1"/>
  <c r="D14" i="1"/>
  <c r="A21" i="1" l="1"/>
  <c r="D15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D16" i="1"/>
  <c r="D17" i="1" l="1"/>
  <c r="D18" i="1" l="1"/>
  <c r="D19" i="1" l="1"/>
  <c r="D20" i="1" l="1"/>
  <c r="D21" i="1" l="1"/>
  <c r="D22" i="1" l="1"/>
  <c r="D23" i="1" l="1"/>
  <c r="D24" i="1" l="1"/>
  <c r="D25" i="1" l="1"/>
  <c r="D26" i="1" l="1"/>
  <c r="D27" i="1" l="1"/>
  <c r="D28" i="1" l="1"/>
  <c r="D29" i="1" l="1"/>
  <c r="D30" i="1" l="1"/>
  <c r="D31" i="1" l="1"/>
  <c r="D32" i="1" l="1"/>
  <c r="D33" i="1" l="1"/>
  <c r="D34" i="1" l="1"/>
  <c r="D35" i="1" l="1"/>
  <c r="D36" i="1" l="1"/>
  <c r="D37" i="1" l="1"/>
  <c r="D38" i="1" l="1"/>
  <c r="D39" i="1" l="1"/>
  <c r="D40" i="1" l="1"/>
  <c r="D41" i="1" l="1"/>
  <c r="D42" i="1" l="1"/>
  <c r="D43" i="1" l="1"/>
  <c r="D44" i="1" l="1"/>
  <c r="D45" i="1" l="1"/>
  <c r="D46" i="1" l="1"/>
  <c r="D47" i="1" l="1"/>
  <c r="D48" i="1" l="1"/>
  <c r="D49" i="1" l="1"/>
  <c r="D50" i="1" l="1"/>
  <c r="D51" i="1" l="1"/>
  <c r="D52" i="1" l="1"/>
  <c r="D53" i="1" l="1"/>
  <c r="D54" i="1" l="1"/>
  <c r="D55" i="1" l="1"/>
  <c r="D56" i="1" l="1"/>
  <c r="D57" i="1" l="1"/>
  <c r="D58" i="1" l="1"/>
  <c r="D59" i="1" l="1"/>
  <c r="D60" i="1" l="1"/>
  <c r="D61" i="1" l="1"/>
  <c r="D62" i="1" l="1"/>
  <c r="D63" i="1" l="1"/>
  <c r="D64" i="1" l="1"/>
  <c r="D65" i="1" s="1"/>
</calcChain>
</file>

<file path=xl/sharedStrings.xml><?xml version="1.0" encoding="utf-8"?>
<sst xmlns="http://schemas.openxmlformats.org/spreadsheetml/2006/main" count="24" uniqueCount="22">
  <si>
    <t>POSIZIONE</t>
  </si>
  <si>
    <t>Giocatore 1</t>
  </si>
  <si>
    <t>Giocatore 2</t>
  </si>
  <si>
    <t>USCITI AI QUARTI DI FINALE</t>
  </si>
  <si>
    <t>USCITI AGLI OTTAVI DI FINALE</t>
  </si>
  <si>
    <t>USCITI AI SEDICESIMI DI FINALE</t>
  </si>
  <si>
    <t>Punteggio assegnato</t>
  </si>
  <si>
    <t>° POSTO</t>
  </si>
  <si>
    <t>TORNEO A</t>
  </si>
  <si>
    <t>SQUADRE</t>
  </si>
  <si>
    <t>FASE FINALE A</t>
  </si>
  <si>
    <t>USCITI AI GIRONI</t>
  </si>
  <si>
    <t>VINCITORE - 1° POSTO</t>
  </si>
  <si>
    <t>FINALISTA - 2° POSTO</t>
  </si>
  <si>
    <t>SEMIFINALISTA - 3° POSTO</t>
  </si>
  <si>
    <t>SEMIFINALISTA - 4° POSTO</t>
  </si>
  <si>
    <t>PIPPO</t>
  </si>
  <si>
    <t>FRANCO</t>
  </si>
  <si>
    <t>CACCA</t>
  </si>
  <si>
    <t>PIPI</t>
  </si>
  <si>
    <t>POSIZIONE FINALE</t>
  </si>
  <si>
    <t># SQUADRE FASE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</si>
</sst>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9" workbookViewId="0">
      <selection activeCell="D3" sqref="D3"/>
    </sheetView>
    <sheetView tabSelected="1" workbookViewId="1">
      <selection sqref="A1:D1"/>
    </sheetView>
  </sheetViews>
  <sheetFormatPr defaultRowHeight="14.4" x14ac:dyDescent="0.3"/>
  <cols>
    <col min="1" max="1" width="28.5546875" bestFit="1" customWidth="1"/>
    <col min="2" max="3" width="11" bestFit="1" customWidth="1"/>
    <col min="4" max="4" width="19.5546875" bestFit="1" customWidth="1"/>
    <col min="6" max="6" width="15.88671875" bestFit="1" customWidth="1"/>
    <col min="7" max="7" width="9.109375" style="1"/>
  </cols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F1" s="2" t="s">
        <v>8</v>
      </c>
      <c r="G1" s="1">
        <v>64</v>
      </c>
      <c r="H1" s="3" t="s">
        <v>9</v>
      </c>
    </row>
    <row r="2" spans="1:8" x14ac:dyDescent="0.3">
      <c r="A2" t="str">
        <f>'CELLE NOTEVOLI'!A2</f>
        <v>VINCITORE - 1° POSTO</v>
      </c>
      <c r="B2" t="s">
        <v>16</v>
      </c>
      <c r="C2" t="s">
        <v>17</v>
      </c>
      <c r="D2">
        <f>IF($A2="","",IF($A2='CELLE NOTEVOLI'!$A$2,1+($G$5*1)+(($G$3-2)*2)+(2*5),IF($A2='CELLE NOTEVOLI'!$A$3,$D1-5,IF($A2='CELLE NOTEVOLI'!$A$4,$D1-5,IF(OR($A2='CELLE NOTEVOLI'!$A$5,$A2='CELLE NOTEVOLI'!$A$6,$A2='CELLE NOTEVOLI'!$A$7,$A2='CELLE NOTEVOLI'!$A$8),IF($A2=$A1,$D1,$D1-2),$D1-1)))))</f>
        <v>103</v>
      </c>
      <c r="F2" s="2"/>
      <c r="H2" s="3"/>
    </row>
    <row r="3" spans="1:8" x14ac:dyDescent="0.3">
      <c r="A3" t="str">
        <f>'CELLE NOTEVOLI'!A3</f>
        <v>FINALISTA - 2° POSTO</v>
      </c>
      <c r="B3" t="s">
        <v>18</v>
      </c>
      <c r="C3" t="s">
        <v>19</v>
      </c>
      <c r="D3">
        <f>IF($A3="","",IF($A3='CELLE NOTEVOLI'!$A$2,1+($G$5*1)+(($G$3-2)*2)+(2*5),IF($A3='CELLE NOTEVOLI'!$A$3,$D2-5,IF($A3='CELLE NOTEVOLI'!$A$4,$D2-5,IF(OR($A3='CELLE NOTEVOLI'!$A$5,$A3='CELLE NOTEVOLI'!$A$6,$A3='CELLE NOTEVOLI'!$A$7,$A3='CELLE NOTEVOLI'!$A$8),IF($A3=$A2,$D2,$D2-2),$D2-1)))))</f>
        <v>98</v>
      </c>
      <c r="F3" s="2" t="s">
        <v>10</v>
      </c>
      <c r="G3" s="1">
        <v>32</v>
      </c>
      <c r="H3" s="3" t="s">
        <v>9</v>
      </c>
    </row>
    <row r="4" spans="1:8" x14ac:dyDescent="0.3">
      <c r="A4" t="str">
        <f>IF(COUNTA($A$2:$A3)&gt;$G$3-1,COUNTA($A$2:$A3)+1&amp;'CELLE NOTEVOLI'!$A$9,'CELLE NOTEVOLI'!$A$4)</f>
        <v>SEMIFINALISTA - 3° POSTO</v>
      </c>
      <c r="D4">
        <f>IF($A4="","",IF($A4='CELLE NOTEVOLI'!$A$2,1+($G$5*1)+(($G$3-2)*2)+(2*5),IF($A4='CELLE NOTEVOLI'!$A$3,$D3-5,IF($A4='CELLE NOTEVOLI'!$A$4,$D3-5,IF(OR($A4='CELLE NOTEVOLI'!$A$5,$A4='CELLE NOTEVOLI'!$A$6,$A4='CELLE NOTEVOLI'!$A$7,$A4='CELLE NOTEVOLI'!$A$8),IF($A4=$A3,$D3,$D3-2),$D3-1)))))</f>
        <v>93</v>
      </c>
      <c r="F4" s="2"/>
      <c r="H4" s="3"/>
    </row>
    <row r="5" spans="1:8" x14ac:dyDescent="0.3">
      <c r="A5" t="str">
        <f>IF(COUNTA($A$2:$A4)&gt;$G$3-1,COUNTA($A$2:$A4)+1&amp;'CELLE NOTEVOLI'!$A$9,'CELLE NOTEVOLI'!$A$5)</f>
        <v>SEMIFINALISTA - 4° POSTO</v>
      </c>
      <c r="D5">
        <f>IF($A5="","",IF($A5='CELLE NOTEVOLI'!$A$2,1+($G$5*1)+(($G$3-2)*2)+(2*5),IF($A5='CELLE NOTEVOLI'!$A$3,$D4-5,IF($A5='CELLE NOTEVOLI'!$A$4,$D4-5,IF(OR($A5='CELLE NOTEVOLI'!$A$5,$A5='CELLE NOTEVOLI'!$A$6,$A5='CELLE NOTEVOLI'!$A$7,$A5='CELLE NOTEVOLI'!$A$8),IF($A5=$A4,$D4,$D4-2),$D4-1)))))</f>
        <v>91</v>
      </c>
      <c r="F5" s="2" t="s">
        <v>11</v>
      </c>
      <c r="G5" s="1">
        <f>G1-G3</f>
        <v>32</v>
      </c>
      <c r="H5" s="3" t="s">
        <v>9</v>
      </c>
    </row>
    <row r="6" spans="1:8" x14ac:dyDescent="0.3">
      <c r="A6" t="str">
        <f>IF(COUNTA($A$2:$A5)&gt;$G$3-1,COUNTA($A$2:$A5)+1&amp;'CELLE NOTEVOLI'!$A$9,'CELLE NOTEVOLI'!$A$6)</f>
        <v>USCITI AI QUARTI DI FINALE</v>
      </c>
      <c r="D6">
        <f>IF($A6="","",IF($A6='CELLE NOTEVOLI'!$A$2,1+($G$5*1)+(($G$3-2)*2)+(2*5),IF($A6='CELLE NOTEVOLI'!$A$3,$D5-5,IF($A6='CELLE NOTEVOLI'!$A$4,$D5-5,IF(OR($A6='CELLE NOTEVOLI'!$A$5,$A6='CELLE NOTEVOLI'!$A$6,$A6='CELLE NOTEVOLI'!$A$7,$A6='CELLE NOTEVOLI'!$A$8),IF($A6=$A5,$D5,$D5-2),$D5-1)))))</f>
        <v>89</v>
      </c>
    </row>
    <row r="7" spans="1:8" x14ac:dyDescent="0.3">
      <c r="A7" t="str">
        <f>IF(COUNTA($A$2:$A6)&gt;$G$3-1,COUNTA($A$2:$A6)+1&amp;'CELLE NOTEVOLI'!$A$9,'CELLE NOTEVOLI'!$A$6)</f>
        <v>USCITI AI QUARTI DI FINALE</v>
      </c>
      <c r="D7">
        <f>IF($A7="","",IF($A7='CELLE NOTEVOLI'!$A$2,1+($G$5*1)+(($G$3-2)*2)+(2*5),IF($A7='CELLE NOTEVOLI'!$A$3,$D6-5,IF($A7='CELLE NOTEVOLI'!$A$4,$D6-5,IF(OR($A7='CELLE NOTEVOLI'!$A$5,$A7='CELLE NOTEVOLI'!$A$6,$A7='CELLE NOTEVOLI'!$A$7,$A7='CELLE NOTEVOLI'!$A$8),IF($A7=$A6,$D6,$D6-2),$D6-1)))))</f>
        <v>89</v>
      </c>
    </row>
    <row r="8" spans="1:8" x14ac:dyDescent="0.3">
      <c r="A8" t="str">
        <f>IF(COUNTA($A$2:$A7)&gt;$G$3-1,COUNTA($A$2:$A7)+1&amp;'CELLE NOTEVOLI'!$A$9,'CELLE NOTEVOLI'!$A$6)</f>
        <v>USCITI AI QUARTI DI FINALE</v>
      </c>
      <c r="D8">
        <f>IF($A8="","",IF($A8='CELLE NOTEVOLI'!$A$2,1+($G$5*1)+(($G$3-2)*2)+(2*5),IF($A8='CELLE NOTEVOLI'!$A$3,$D7-5,IF($A8='CELLE NOTEVOLI'!$A$4,$D7-5,IF(OR($A8='CELLE NOTEVOLI'!$A$5,$A8='CELLE NOTEVOLI'!$A$6,$A8='CELLE NOTEVOLI'!$A$7,$A8='CELLE NOTEVOLI'!$A$8),IF($A8=$A7,$D7,$D7-2),$D7-1)))))</f>
        <v>89</v>
      </c>
    </row>
    <row r="9" spans="1:8" x14ac:dyDescent="0.3">
      <c r="A9" t="str">
        <f>IF(COUNTA($A$2:$A8)&gt;$G$3-1,COUNTA($A$2:$A8)+1&amp;'CELLE NOTEVOLI'!$A$9,'CELLE NOTEVOLI'!$A$6)</f>
        <v>USCITI AI QUARTI DI FINALE</v>
      </c>
      <c r="D9">
        <f>IF($A9="","",IF($A9='CELLE NOTEVOLI'!$A$2,1+($G$5*1)+(($G$3-2)*2)+(2*5),IF($A9='CELLE NOTEVOLI'!$A$3,$D8-5,IF($A9='CELLE NOTEVOLI'!$A$4,$D8-5,IF(OR($A9='CELLE NOTEVOLI'!$A$5,$A9='CELLE NOTEVOLI'!$A$6,$A9='CELLE NOTEVOLI'!$A$7,$A9='CELLE NOTEVOLI'!$A$8),IF($A9=$A8,$D8,$D8-2),$D8-1)))))</f>
        <v>89</v>
      </c>
    </row>
    <row r="10" spans="1:8" x14ac:dyDescent="0.3">
      <c r="A10" t="str">
        <f>IF(COUNTA($A$2:$A9)&gt;$G$3-1,COUNTA($A$2:$A9)+1&amp;'CELLE NOTEVOLI'!$A$9,'CELLE NOTEVOLI'!$A$7)</f>
        <v>USCITI AGLI OTTAVI DI FINALE</v>
      </c>
      <c r="D10">
        <f>IF($A10="","",IF($A10='CELLE NOTEVOLI'!$A$2,1+($G$5*1)+(($G$3-2)*2)+(2*5),IF($A10='CELLE NOTEVOLI'!$A$3,$D9-5,IF($A10='CELLE NOTEVOLI'!$A$4,$D9-5,IF(OR($A10='CELLE NOTEVOLI'!$A$5,$A10='CELLE NOTEVOLI'!$A$6,$A10='CELLE NOTEVOLI'!$A$7,$A10='CELLE NOTEVOLI'!$A$8),IF($A10=$A9,$D9,$D9-2),$D9-1)))))</f>
        <v>87</v>
      </c>
    </row>
    <row r="11" spans="1:8" x14ac:dyDescent="0.3">
      <c r="A11" t="str">
        <f>IF(COUNTA($A$2:$A10)&gt;$G$3-1,COUNTA($A$2:$A10)+1&amp;'CELLE NOTEVOLI'!$A$9,'CELLE NOTEVOLI'!$A$7)</f>
        <v>USCITI AGLI OTTAVI DI FINALE</v>
      </c>
      <c r="D11">
        <f>IF($A11="","",IF($A11='CELLE NOTEVOLI'!$A$2,1+($G$5*1)+(($G$3-2)*2)+(2*5),IF($A11='CELLE NOTEVOLI'!$A$3,$D10-5,IF($A11='CELLE NOTEVOLI'!$A$4,$D10-5,IF(OR($A11='CELLE NOTEVOLI'!$A$5,$A11='CELLE NOTEVOLI'!$A$6,$A11='CELLE NOTEVOLI'!$A$7,$A11='CELLE NOTEVOLI'!$A$8),IF($A11=$A10,$D10,$D10-2),$D10-1)))))</f>
        <v>87</v>
      </c>
    </row>
    <row r="12" spans="1:8" x14ac:dyDescent="0.3">
      <c r="A12" t="str">
        <f>IF(COUNTA($A$2:$A11)&gt;$G$3-1,COUNTA($A$2:$A11)+1&amp;'CELLE NOTEVOLI'!$A$9,'CELLE NOTEVOLI'!$A$7)</f>
        <v>USCITI AGLI OTTAVI DI FINALE</v>
      </c>
      <c r="D12">
        <f>IF($A12="","",IF($A12='CELLE NOTEVOLI'!$A$2,1+($G$5*1)+(($G$3-2)*2)+(2*5),IF($A12='CELLE NOTEVOLI'!$A$3,$D11-5,IF($A12='CELLE NOTEVOLI'!$A$4,$D11-5,IF(OR($A12='CELLE NOTEVOLI'!$A$5,$A12='CELLE NOTEVOLI'!$A$6,$A12='CELLE NOTEVOLI'!$A$7,$A12='CELLE NOTEVOLI'!$A$8),IF($A12=$A11,$D11,$D11-2),$D11-1)))))</f>
        <v>87</v>
      </c>
    </row>
    <row r="13" spans="1:8" x14ac:dyDescent="0.3">
      <c r="A13" t="str">
        <f>IF(COUNTA($A$2:$A12)&gt;$G$3-1,COUNTA($A$2:$A12)+1&amp;'CELLE NOTEVOLI'!$A$9,'CELLE NOTEVOLI'!$A$7)</f>
        <v>USCITI AGLI OTTAVI DI FINALE</v>
      </c>
      <c r="D13">
        <f>IF($A13="","",IF($A13='CELLE NOTEVOLI'!$A$2,1+($G$5*1)+(($G$3-2)*2)+(2*5),IF($A13='CELLE NOTEVOLI'!$A$3,$D12-5,IF($A13='CELLE NOTEVOLI'!$A$4,$D12-5,IF(OR($A13='CELLE NOTEVOLI'!$A$5,$A13='CELLE NOTEVOLI'!$A$6,$A13='CELLE NOTEVOLI'!$A$7,$A13='CELLE NOTEVOLI'!$A$8),IF($A13=$A12,$D12,$D12-2),$D12-1)))))</f>
        <v>87</v>
      </c>
    </row>
    <row r="14" spans="1:8" x14ac:dyDescent="0.3">
      <c r="A14" t="str">
        <f>IF(COUNTA($A$2:$A13)&gt;$G$3-1,COUNTA($A$2:$A13)+1&amp;'CELLE NOTEVOLI'!$A$9,'CELLE NOTEVOLI'!$A$7)</f>
        <v>USCITI AGLI OTTAVI DI FINALE</v>
      </c>
      <c r="D14">
        <f>IF($A14="","",IF($A14='CELLE NOTEVOLI'!$A$2,1+($G$5*1)+(($G$3-2)*2)+(2*5),IF($A14='CELLE NOTEVOLI'!$A$3,$D13-5,IF($A14='CELLE NOTEVOLI'!$A$4,$D13-5,IF(OR($A14='CELLE NOTEVOLI'!$A$5,$A14='CELLE NOTEVOLI'!$A$6,$A14='CELLE NOTEVOLI'!$A$7,$A14='CELLE NOTEVOLI'!$A$8),IF($A14=$A13,$D13,$D13-2),$D13-1)))))</f>
        <v>87</v>
      </c>
    </row>
    <row r="15" spans="1:8" x14ac:dyDescent="0.3">
      <c r="A15" t="str">
        <f>IF(COUNTA($A$2:$A14)&gt;$G$3-1,COUNTA($A$2:$A14)+1&amp;'CELLE NOTEVOLI'!$A$9,'CELLE NOTEVOLI'!$A$7)</f>
        <v>USCITI AGLI OTTAVI DI FINALE</v>
      </c>
      <c r="D15">
        <f>IF($A15="","",IF($A15='CELLE NOTEVOLI'!$A$2,1+($G$5*1)+(($G$3-2)*2)+(2*5),IF($A15='CELLE NOTEVOLI'!$A$3,$D14-5,IF($A15='CELLE NOTEVOLI'!$A$4,$D14-5,IF(OR($A15='CELLE NOTEVOLI'!$A$5,$A15='CELLE NOTEVOLI'!$A$6,$A15='CELLE NOTEVOLI'!$A$7,$A15='CELLE NOTEVOLI'!$A$8),IF($A15=$A14,$D14,$D14-2),$D14-1)))))</f>
        <v>87</v>
      </c>
    </row>
    <row r="16" spans="1:8" x14ac:dyDescent="0.3">
      <c r="A16" t="str">
        <f>IF(COUNTA($A$2:$A15)&gt;$G$3-1,COUNTA($A$2:$A15)+1&amp;'CELLE NOTEVOLI'!$A$9,'CELLE NOTEVOLI'!$A$7)</f>
        <v>USCITI AGLI OTTAVI DI FINALE</v>
      </c>
      <c r="D16">
        <f>IF($A16="","",IF($A16='CELLE NOTEVOLI'!$A$2,1+($G$5*1)+(($G$3-2)*2)+(2*5),IF($A16='CELLE NOTEVOLI'!$A$3,$D15-5,IF($A16='CELLE NOTEVOLI'!$A$4,$D15-5,IF(OR($A16='CELLE NOTEVOLI'!$A$5,$A16='CELLE NOTEVOLI'!$A$6,$A16='CELLE NOTEVOLI'!$A$7,$A16='CELLE NOTEVOLI'!$A$8),IF($A16=$A15,$D15,$D15-2),$D15-1)))))</f>
        <v>87</v>
      </c>
    </row>
    <row r="17" spans="1:4" x14ac:dyDescent="0.3">
      <c r="A17" t="str">
        <f>IF(COUNTA($A$2:$A16)&gt;$G$3-1,COUNTA($A$2:$A16)+1&amp;'CELLE NOTEVOLI'!$A$9,'CELLE NOTEVOLI'!$A$7)</f>
        <v>USCITI AGLI OTTAVI DI FINALE</v>
      </c>
      <c r="D17">
        <f>IF($A17="","",IF($A17='CELLE NOTEVOLI'!$A$2,1+($G$5*1)+(($G$3-2)*2)+(2*5),IF($A17='CELLE NOTEVOLI'!$A$3,$D16-5,IF($A17='CELLE NOTEVOLI'!$A$4,$D16-5,IF(OR($A17='CELLE NOTEVOLI'!$A$5,$A17='CELLE NOTEVOLI'!$A$6,$A17='CELLE NOTEVOLI'!$A$7,$A17='CELLE NOTEVOLI'!$A$8),IF($A17=$A16,$D16,$D16-2),$D16-1)))))</f>
        <v>87</v>
      </c>
    </row>
    <row r="18" spans="1:4" x14ac:dyDescent="0.3">
      <c r="A18" t="str">
        <f>IF(COUNTA($A$2:$A17)&gt;$G$3-1,COUNTA($A$2:$A17)+1&amp;'CELLE NOTEVOLI'!$A$9,'CELLE NOTEVOLI'!$A$8)</f>
        <v>USCITI AI SEDICESIMI DI FINALE</v>
      </c>
      <c r="D18">
        <f>IF($A18="","",IF($A18='CELLE NOTEVOLI'!$A$2,1+($G$5*1)+(($G$3-2)*2)+(2*5),IF($A18='CELLE NOTEVOLI'!$A$3,$D17-5,IF($A18='CELLE NOTEVOLI'!$A$4,$D17-5,IF(OR($A18='CELLE NOTEVOLI'!$A$5,$A18='CELLE NOTEVOLI'!$A$6,$A18='CELLE NOTEVOLI'!$A$7,$A18='CELLE NOTEVOLI'!$A$8),IF($A18=$A17,$D17,$D17-2),$D17-1)))))</f>
        <v>85</v>
      </c>
    </row>
    <row r="19" spans="1:4" x14ac:dyDescent="0.3">
      <c r="A19" t="str">
        <f>IF(COUNTA($A$2:$A18)&gt;$G$3-1,COUNTA($A$2:$A18)+1&amp;'CELLE NOTEVOLI'!$A$9,'CELLE NOTEVOLI'!$A$8)</f>
        <v>USCITI AI SEDICESIMI DI FINALE</v>
      </c>
      <c r="D19">
        <f>IF($A19="","",IF($A19='CELLE NOTEVOLI'!$A$2,1+($G$5*1)+(($G$3-2)*2)+(2*5),IF($A19='CELLE NOTEVOLI'!$A$3,$D18-5,IF($A19='CELLE NOTEVOLI'!$A$4,$D18-5,IF(OR($A19='CELLE NOTEVOLI'!$A$5,$A19='CELLE NOTEVOLI'!$A$6,$A19='CELLE NOTEVOLI'!$A$7,$A19='CELLE NOTEVOLI'!$A$8),IF($A19=$A18,$D18,$D18-2),$D18-1)))))</f>
        <v>85</v>
      </c>
    </row>
    <row r="20" spans="1:4" x14ac:dyDescent="0.3">
      <c r="A20" t="str">
        <f>IF(COUNTA($A$2:$A19)&gt;$G$3-1,COUNTA($A$2:$A19)+1&amp;'CELLE NOTEVOLI'!$A$9,'CELLE NOTEVOLI'!$A$8)</f>
        <v>USCITI AI SEDICESIMI DI FINALE</v>
      </c>
      <c r="D20">
        <f>IF($A20="","",IF($A20='CELLE NOTEVOLI'!$A$2,1+($G$5*1)+(($G$3-2)*2)+(2*5),IF($A20='CELLE NOTEVOLI'!$A$3,$D19-5,IF($A20='CELLE NOTEVOLI'!$A$4,$D19-5,IF(OR($A20='CELLE NOTEVOLI'!$A$5,$A20='CELLE NOTEVOLI'!$A$6,$A20='CELLE NOTEVOLI'!$A$7,$A20='CELLE NOTEVOLI'!$A$8),IF($A20=$A19,$D19,$D19-2),$D19-1)))))</f>
        <v>85</v>
      </c>
    </row>
    <row r="21" spans="1:4" x14ac:dyDescent="0.3">
      <c r="A21" t="str">
        <f>IF(COUNTA($A$2:$A20)&gt;$G$3-1,COUNTA($A$2:$A20)+1&amp;'CELLE NOTEVOLI'!$A$9,'CELLE NOTEVOLI'!$A$8)</f>
        <v>USCITI AI SEDICESIMI DI FINALE</v>
      </c>
      <c r="D21">
        <f>IF($A21="","",IF($A21='CELLE NOTEVOLI'!$A$2,1+($G$5*1)+(($G$3-2)*2)+(2*5),IF($A21='CELLE NOTEVOLI'!$A$3,$D20-5,IF($A21='CELLE NOTEVOLI'!$A$4,$D20-5,IF(OR($A21='CELLE NOTEVOLI'!$A$5,$A21='CELLE NOTEVOLI'!$A$6,$A21='CELLE NOTEVOLI'!$A$7,$A21='CELLE NOTEVOLI'!$A$8),IF($A21=$A20,$D20,$D20-2),$D20-1)))))</f>
        <v>85</v>
      </c>
    </row>
    <row r="22" spans="1:4" x14ac:dyDescent="0.3">
      <c r="A22" t="str">
        <f>IF(COUNTA($A$2:$A21)&gt;$G$3-1,COUNTA($A$2:$A21)+1&amp;'CELLE NOTEVOLI'!$A$9,'CELLE NOTEVOLI'!$A$8)</f>
        <v>USCITI AI SEDICESIMI DI FINALE</v>
      </c>
      <c r="D22">
        <f>IF($A22="","",IF($A22='CELLE NOTEVOLI'!$A$2,1+($G$5*1)+(($G$3-2)*2)+(2*5),IF($A22='CELLE NOTEVOLI'!$A$3,$D21-5,IF($A22='CELLE NOTEVOLI'!$A$4,$D21-5,IF(OR($A22='CELLE NOTEVOLI'!$A$5,$A22='CELLE NOTEVOLI'!$A$6,$A22='CELLE NOTEVOLI'!$A$7,$A22='CELLE NOTEVOLI'!$A$8),IF($A22=$A21,$D21,$D21-2),$D21-1)))))</f>
        <v>85</v>
      </c>
    </row>
    <row r="23" spans="1:4" x14ac:dyDescent="0.3">
      <c r="A23" t="str">
        <f>IF(COUNTA($A$2:$A22)&gt;$G$3-1,COUNTA($A$2:$A22)+1&amp;'CELLE NOTEVOLI'!$A$9,'CELLE NOTEVOLI'!$A$8)</f>
        <v>USCITI AI SEDICESIMI DI FINALE</v>
      </c>
      <c r="D23">
        <f>IF($A23="","",IF($A23='CELLE NOTEVOLI'!$A$2,1+($G$5*1)+(($G$3-2)*2)+(2*5),IF($A23='CELLE NOTEVOLI'!$A$3,$D22-5,IF($A23='CELLE NOTEVOLI'!$A$4,$D22-5,IF(OR($A23='CELLE NOTEVOLI'!$A$5,$A23='CELLE NOTEVOLI'!$A$6,$A23='CELLE NOTEVOLI'!$A$7,$A23='CELLE NOTEVOLI'!$A$8),IF($A23=$A22,$D22,$D22-2),$D22-1)))))</f>
        <v>85</v>
      </c>
    </row>
    <row r="24" spans="1:4" x14ac:dyDescent="0.3">
      <c r="A24" t="str">
        <f>IF(COUNTA($A$2:$A23)&gt;$G$3-1,COUNTA($A$2:$A23)+1&amp;'CELLE NOTEVOLI'!$A$9,'CELLE NOTEVOLI'!$A$8)</f>
        <v>USCITI AI SEDICESIMI DI FINALE</v>
      </c>
      <c r="D24">
        <f>IF($A24="","",IF($A24='CELLE NOTEVOLI'!$A$2,1+($G$5*1)+(($G$3-2)*2)+(2*5),IF($A24='CELLE NOTEVOLI'!$A$3,$D23-5,IF($A24='CELLE NOTEVOLI'!$A$4,$D23-5,IF(OR($A24='CELLE NOTEVOLI'!$A$5,$A24='CELLE NOTEVOLI'!$A$6,$A24='CELLE NOTEVOLI'!$A$7,$A24='CELLE NOTEVOLI'!$A$8),IF($A24=$A23,$D23,$D23-2),$D23-1)))))</f>
        <v>85</v>
      </c>
    </row>
    <row r="25" spans="1:4" x14ac:dyDescent="0.3">
      <c r="A25" t="str">
        <f>IF(COUNTA($A$2:$A24)&gt;$G$3-1,COUNTA($A$2:$A24)+1&amp;'CELLE NOTEVOLI'!$A$9,'CELLE NOTEVOLI'!$A$8)</f>
        <v>USCITI AI SEDICESIMI DI FINALE</v>
      </c>
      <c r="D25">
        <f>IF($A25="","",IF($A25='CELLE NOTEVOLI'!$A$2,1+($G$5*1)+(($G$3-2)*2)+(2*5),IF($A25='CELLE NOTEVOLI'!$A$3,$D24-5,IF($A25='CELLE NOTEVOLI'!$A$4,$D24-5,IF(OR($A25='CELLE NOTEVOLI'!$A$5,$A25='CELLE NOTEVOLI'!$A$6,$A25='CELLE NOTEVOLI'!$A$7,$A25='CELLE NOTEVOLI'!$A$8),IF($A25=$A24,$D24,$D24-2),$D24-1)))))</f>
        <v>85</v>
      </c>
    </row>
    <row r="26" spans="1:4" x14ac:dyDescent="0.3">
      <c r="A26" t="str">
        <f>IF(COUNTA($A$2:$A25)&gt;$G$3-1,COUNTA($A$2:$A25)+1&amp;'CELLE NOTEVOLI'!$A$9,'CELLE NOTEVOLI'!$A$8)</f>
        <v>USCITI AI SEDICESIMI DI FINALE</v>
      </c>
      <c r="D26">
        <f>IF($A26="","",IF($A26='CELLE NOTEVOLI'!$A$2,1+($G$5*1)+(($G$3-2)*2)+(2*5),IF($A26='CELLE NOTEVOLI'!$A$3,$D25-5,IF($A26='CELLE NOTEVOLI'!$A$4,$D25-5,IF(OR($A26='CELLE NOTEVOLI'!$A$5,$A26='CELLE NOTEVOLI'!$A$6,$A26='CELLE NOTEVOLI'!$A$7,$A26='CELLE NOTEVOLI'!$A$8),IF($A26=$A25,$D25,$D25-2),$D25-1)))))</f>
        <v>85</v>
      </c>
    </row>
    <row r="27" spans="1:4" x14ac:dyDescent="0.3">
      <c r="A27" t="str">
        <f>IF(COUNTA($A$2:$A26)&gt;$G$3-1,COUNTA($A$2:$A26)+1&amp;'CELLE NOTEVOLI'!$A$9,'CELLE NOTEVOLI'!$A$8)</f>
        <v>USCITI AI SEDICESIMI DI FINALE</v>
      </c>
      <c r="D27">
        <f>IF($A27="","",IF($A27='CELLE NOTEVOLI'!$A$2,1+($G$5*1)+(($G$3-2)*2)+(2*5),IF($A27='CELLE NOTEVOLI'!$A$3,$D26-5,IF($A27='CELLE NOTEVOLI'!$A$4,$D26-5,IF(OR($A27='CELLE NOTEVOLI'!$A$5,$A27='CELLE NOTEVOLI'!$A$6,$A27='CELLE NOTEVOLI'!$A$7,$A27='CELLE NOTEVOLI'!$A$8),IF($A27=$A26,$D26,$D26-2),$D26-1)))))</f>
        <v>85</v>
      </c>
    </row>
    <row r="28" spans="1:4" x14ac:dyDescent="0.3">
      <c r="A28" t="str">
        <f>IF(COUNTA($A$2:$A27)&gt;$G$3-1,COUNTA($A$2:$A27)+1&amp;'CELLE NOTEVOLI'!$A$9,'CELLE NOTEVOLI'!$A$8)</f>
        <v>USCITI AI SEDICESIMI DI FINALE</v>
      </c>
      <c r="D28">
        <f>IF($A28="","",IF($A28='CELLE NOTEVOLI'!$A$2,1+($G$5*1)+(($G$3-2)*2)+(2*5),IF($A28='CELLE NOTEVOLI'!$A$3,$D27-5,IF($A28='CELLE NOTEVOLI'!$A$4,$D27-5,IF(OR($A28='CELLE NOTEVOLI'!$A$5,$A28='CELLE NOTEVOLI'!$A$6,$A28='CELLE NOTEVOLI'!$A$7,$A28='CELLE NOTEVOLI'!$A$8),IF($A28=$A27,$D27,$D27-2),$D27-1)))))</f>
        <v>85</v>
      </c>
    </row>
    <row r="29" spans="1:4" x14ac:dyDescent="0.3">
      <c r="A29" t="str">
        <f>IF(COUNTA($A$2:$A28)&gt;$G$3-1,COUNTA($A$2:$A28)+1&amp;'CELLE NOTEVOLI'!$A$9,'CELLE NOTEVOLI'!$A$8)</f>
        <v>USCITI AI SEDICESIMI DI FINALE</v>
      </c>
      <c r="D29">
        <f>IF($A29="","",IF($A29='CELLE NOTEVOLI'!$A$2,1+($G$5*1)+(($G$3-2)*2)+(2*5),IF($A29='CELLE NOTEVOLI'!$A$3,$D28-5,IF($A29='CELLE NOTEVOLI'!$A$4,$D28-5,IF(OR($A29='CELLE NOTEVOLI'!$A$5,$A29='CELLE NOTEVOLI'!$A$6,$A29='CELLE NOTEVOLI'!$A$7,$A29='CELLE NOTEVOLI'!$A$8),IF($A29=$A28,$D28,$D28-2),$D28-1)))))</f>
        <v>85</v>
      </c>
    </row>
    <row r="30" spans="1:4" x14ac:dyDescent="0.3">
      <c r="A30" t="str">
        <f>IF(COUNTA($A$2:$A29)&gt;$G$3-1,COUNTA($A$2:$A29)+1&amp;'CELLE NOTEVOLI'!$A$9,'CELLE NOTEVOLI'!$A$8)</f>
        <v>USCITI AI SEDICESIMI DI FINALE</v>
      </c>
      <c r="D30">
        <f>IF($A30="","",IF($A30='CELLE NOTEVOLI'!$A$2,1+($G$5*1)+(($G$3-2)*2)+(2*5),IF($A30='CELLE NOTEVOLI'!$A$3,$D29-5,IF($A30='CELLE NOTEVOLI'!$A$4,$D29-5,IF(OR($A30='CELLE NOTEVOLI'!$A$5,$A30='CELLE NOTEVOLI'!$A$6,$A30='CELLE NOTEVOLI'!$A$7,$A30='CELLE NOTEVOLI'!$A$8),IF($A30=$A29,$D29,$D29-2),$D29-1)))))</f>
        <v>85</v>
      </c>
    </row>
    <row r="31" spans="1:4" x14ac:dyDescent="0.3">
      <c r="A31" t="str">
        <f>IF(COUNTA($A$2:$A30)&gt;$G$3-1,COUNTA($A$2:$A30)+1&amp;'CELLE NOTEVOLI'!$A$9,'CELLE NOTEVOLI'!$A$8)</f>
        <v>USCITI AI SEDICESIMI DI FINALE</v>
      </c>
      <c r="D31">
        <f>IF($A31="","",IF($A31='CELLE NOTEVOLI'!$A$2,1+($G$5*1)+(($G$3-2)*2)+(2*5),IF($A31='CELLE NOTEVOLI'!$A$3,$D30-5,IF($A31='CELLE NOTEVOLI'!$A$4,$D30-5,IF(OR($A31='CELLE NOTEVOLI'!$A$5,$A31='CELLE NOTEVOLI'!$A$6,$A31='CELLE NOTEVOLI'!$A$7,$A31='CELLE NOTEVOLI'!$A$8),IF($A31=$A30,$D30,$D30-2),$D30-1)))))</f>
        <v>85</v>
      </c>
    </row>
    <row r="32" spans="1:4" x14ac:dyDescent="0.3">
      <c r="A32" t="str">
        <f>IF(COUNTA($A$2:$A31)&gt;$G$3-1,COUNTA($A$2:$A31)+1&amp;'CELLE NOTEVOLI'!$A$9,'CELLE NOTEVOLI'!$A$8)</f>
        <v>USCITI AI SEDICESIMI DI FINALE</v>
      </c>
      <c r="D32">
        <f>IF($A32="","",IF($A32='CELLE NOTEVOLI'!$A$2,1+($G$5*1)+(($G$3-2)*2)+(2*5),IF($A32='CELLE NOTEVOLI'!$A$3,$D31-5,IF($A32='CELLE NOTEVOLI'!$A$4,$D31-5,IF(OR($A32='CELLE NOTEVOLI'!$A$5,$A32='CELLE NOTEVOLI'!$A$6,$A32='CELLE NOTEVOLI'!$A$7,$A32='CELLE NOTEVOLI'!$A$8),IF($A32=$A31,$D31,$D31-2),$D31-1)))))</f>
        <v>85</v>
      </c>
    </row>
    <row r="33" spans="1:4" x14ac:dyDescent="0.3">
      <c r="A33" t="str">
        <f>IF(COUNTA($A$2:$A32)&gt;$G$3-1,COUNTA($A$2:$A32)+1&amp;'CELLE NOTEVOLI'!$A$9,'CELLE NOTEVOLI'!$A$8)</f>
        <v>USCITI AI SEDICESIMI DI FINALE</v>
      </c>
      <c r="D33">
        <f>IF($A33="","",IF($A33='CELLE NOTEVOLI'!$A$2,1+($G$5*1)+(($G$3-2)*2)+(2*5),IF($A33='CELLE NOTEVOLI'!$A$3,$D32-5,IF($A33='CELLE NOTEVOLI'!$A$4,$D32-5,IF(OR($A33='CELLE NOTEVOLI'!$A$5,$A33='CELLE NOTEVOLI'!$A$6,$A33='CELLE NOTEVOLI'!$A$7,$A33='CELLE NOTEVOLI'!$A$8),IF($A33=$A32,$D32,$D32-2),$D32-1)))))</f>
        <v>85</v>
      </c>
    </row>
    <row r="34" spans="1:4" x14ac:dyDescent="0.3">
      <c r="A34" t="str">
        <f>IF(COUNTA($A$2:$A33)&gt;$G$3-1,COUNTA($A$2:$A33)+1&amp;'CELLE NOTEVOLI'!$A$9,'CELLE NOTEVOLI'!$A$8)</f>
        <v>33° POSTO</v>
      </c>
      <c r="D34">
        <f>IF($A34="","",IF($A34='CELLE NOTEVOLI'!$A$2,1+($G$5*1)+(($G$3-2)*2)+(2*5),IF($A34='CELLE NOTEVOLI'!$A$3,$D33-5,IF($A34='CELLE NOTEVOLI'!$A$4,$D33-5,IF(OR($A34='CELLE NOTEVOLI'!$A$5,$A34='CELLE NOTEVOLI'!$A$6,$A34='CELLE NOTEVOLI'!$A$7,$A34='CELLE NOTEVOLI'!$A$8),IF($A34=$A33,$D33,$D33-2),$D33-1)))))</f>
        <v>84</v>
      </c>
    </row>
    <row r="35" spans="1:4" x14ac:dyDescent="0.3">
      <c r="A35" t="str">
        <f>IF(COUNTA($A$2:$A34)&gt;$G$3-1,COUNTA($A$2:$A34)+1&amp;'CELLE NOTEVOLI'!$A$9,'CELLE NOTEVOLI'!$A$8)</f>
        <v>34° POSTO</v>
      </c>
      <c r="D35">
        <f>IF($A35="","",IF($A35='CELLE NOTEVOLI'!$A$2,1+($G$5*1)+(($G$3-2)*2)+(2*5),IF($A35='CELLE NOTEVOLI'!$A$3,$D34-5,IF($A35='CELLE NOTEVOLI'!$A$4,$D34-5,IF(OR($A35='CELLE NOTEVOLI'!$A$5,$A35='CELLE NOTEVOLI'!$A$6,$A35='CELLE NOTEVOLI'!$A$7,$A35='CELLE NOTEVOLI'!$A$8),IF($A35=$A34,$D34,$D34-2),$D34-1)))))</f>
        <v>83</v>
      </c>
    </row>
    <row r="36" spans="1:4" x14ac:dyDescent="0.3">
      <c r="A36" t="str">
        <f>IF(COUNTA($A$2:$A35)&gt;$G$3-1,COUNTA($A$2:$A35)+1&amp;'CELLE NOTEVOLI'!$A$9,'CELLE NOTEVOLI'!$A$8)</f>
        <v>35° POSTO</v>
      </c>
      <c r="D36">
        <f>IF($A36="","",IF($A36='CELLE NOTEVOLI'!$A$2,1+($G$5*1)+(($G$3-2)*2)+(2*5),IF($A36='CELLE NOTEVOLI'!$A$3,$D35-5,IF($A36='CELLE NOTEVOLI'!$A$4,$D35-5,IF(OR($A36='CELLE NOTEVOLI'!$A$5,$A36='CELLE NOTEVOLI'!$A$6,$A36='CELLE NOTEVOLI'!$A$7,$A36='CELLE NOTEVOLI'!$A$8),IF($A36=$A35,$D35,$D35-2),$D35-1)))))</f>
        <v>82</v>
      </c>
    </row>
    <row r="37" spans="1:4" x14ac:dyDescent="0.3">
      <c r="A37" t="str">
        <f>IF(COUNTA($A$2:$A36)&gt;$G$3-1,COUNTA($A$2:$A36)+1&amp;'CELLE NOTEVOLI'!$A$9,'CELLE NOTEVOLI'!$A$8)</f>
        <v>36° POSTO</v>
      </c>
      <c r="D37">
        <f>IF($A37="","",IF($A37='CELLE NOTEVOLI'!$A$2,1+($G$5*1)+(($G$3-2)*2)+(2*5),IF($A37='CELLE NOTEVOLI'!$A$3,$D36-5,IF($A37='CELLE NOTEVOLI'!$A$4,$D36-5,IF(OR($A37='CELLE NOTEVOLI'!$A$5,$A37='CELLE NOTEVOLI'!$A$6,$A37='CELLE NOTEVOLI'!$A$7,$A37='CELLE NOTEVOLI'!$A$8),IF($A37=$A36,$D36,$D36-2),$D36-1)))))</f>
        <v>81</v>
      </c>
    </row>
    <row r="38" spans="1:4" x14ac:dyDescent="0.3">
      <c r="A38" t="str">
        <f>IF(COUNTA($A$2:$A37)&gt;$G$3-1,COUNTA($A$2:$A37)+1&amp;'CELLE NOTEVOLI'!$A$9,'CELLE NOTEVOLI'!$A$8)</f>
        <v>37° POSTO</v>
      </c>
      <c r="D38">
        <f>IF($A38="","",IF($A38='CELLE NOTEVOLI'!$A$2,1+($G$5*1)+(($G$3-2)*2)+(2*5),IF($A38='CELLE NOTEVOLI'!$A$3,$D37-5,IF($A38='CELLE NOTEVOLI'!$A$4,$D37-5,IF(OR($A38='CELLE NOTEVOLI'!$A$5,$A38='CELLE NOTEVOLI'!$A$6,$A38='CELLE NOTEVOLI'!$A$7,$A38='CELLE NOTEVOLI'!$A$8),IF($A38=$A37,$D37,$D37-2),$D37-1)))))</f>
        <v>80</v>
      </c>
    </row>
    <row r="39" spans="1:4" x14ac:dyDescent="0.3">
      <c r="A39" t="str">
        <f>IF(COUNTA($A$2:$A38)&gt;$G$3-1,COUNTA($A$2:$A38)+1&amp;'CELLE NOTEVOLI'!$A$9,'CELLE NOTEVOLI'!$A$8)</f>
        <v>38° POSTO</v>
      </c>
      <c r="D39">
        <f>IF($A39="","",IF($A39='CELLE NOTEVOLI'!$A$2,1+($G$5*1)+(($G$3-2)*2)+(2*5),IF($A39='CELLE NOTEVOLI'!$A$3,$D38-5,IF($A39='CELLE NOTEVOLI'!$A$4,$D38-5,IF(OR($A39='CELLE NOTEVOLI'!$A$5,$A39='CELLE NOTEVOLI'!$A$6,$A39='CELLE NOTEVOLI'!$A$7,$A39='CELLE NOTEVOLI'!$A$8),IF($A39=$A38,$D38,$D38-2),$D38-1)))))</f>
        <v>79</v>
      </c>
    </row>
    <row r="40" spans="1:4" x14ac:dyDescent="0.3">
      <c r="A40" t="str">
        <f>IF(COUNTA($A$2:$A39)&gt;$G$3-1,COUNTA($A$2:$A39)+1&amp;'CELLE NOTEVOLI'!$A$9,'CELLE NOTEVOLI'!$A$8)</f>
        <v>39° POSTO</v>
      </c>
      <c r="D40">
        <f>IF($A40="","",IF($A40='CELLE NOTEVOLI'!$A$2,1+($G$5*1)+(($G$3-2)*2)+(2*5),IF($A40='CELLE NOTEVOLI'!$A$3,$D39-5,IF($A40='CELLE NOTEVOLI'!$A$4,$D39-5,IF(OR($A40='CELLE NOTEVOLI'!$A$5,$A40='CELLE NOTEVOLI'!$A$6,$A40='CELLE NOTEVOLI'!$A$7,$A40='CELLE NOTEVOLI'!$A$8),IF($A40=$A39,$D39,$D39-2),$D39-1)))))</f>
        <v>78</v>
      </c>
    </row>
    <row r="41" spans="1:4" x14ac:dyDescent="0.3">
      <c r="A41" t="str">
        <f>IF(COUNTA($A$2:$A40)&gt;$G$3-1,COUNTA($A$2:$A40)+1&amp;'CELLE NOTEVOLI'!$A$9,'CELLE NOTEVOLI'!$A$8)</f>
        <v>40° POSTO</v>
      </c>
      <c r="D41">
        <f>IF($A41="","",IF($A41='CELLE NOTEVOLI'!$A$2,1+($G$5*1)+(($G$3-2)*2)+(2*5),IF($A41='CELLE NOTEVOLI'!$A$3,$D40-5,IF($A41='CELLE NOTEVOLI'!$A$4,$D40-5,IF(OR($A41='CELLE NOTEVOLI'!$A$5,$A41='CELLE NOTEVOLI'!$A$6,$A41='CELLE NOTEVOLI'!$A$7,$A41='CELLE NOTEVOLI'!$A$8),IF($A41=$A40,$D40,$D40-2),$D40-1)))))</f>
        <v>77</v>
      </c>
    </row>
    <row r="42" spans="1:4" x14ac:dyDescent="0.3">
      <c r="A42" t="str">
        <f>IF(COUNTA($A$2:$A41)&gt;$G$3-1,COUNTA($A$2:$A41)+1&amp;'CELLE NOTEVOLI'!$A$9,'CELLE NOTEVOLI'!$A$8)</f>
        <v>41° POSTO</v>
      </c>
      <c r="D42">
        <f>IF($A42="","",IF($A42='CELLE NOTEVOLI'!$A$2,1+($G$5*1)+(($G$3-2)*2)+(2*5),IF($A42='CELLE NOTEVOLI'!$A$3,$D41-5,IF($A42='CELLE NOTEVOLI'!$A$4,$D41-5,IF(OR($A42='CELLE NOTEVOLI'!$A$5,$A42='CELLE NOTEVOLI'!$A$6,$A42='CELLE NOTEVOLI'!$A$7,$A42='CELLE NOTEVOLI'!$A$8),IF($A42=$A41,$D41,$D41-2),$D41-1)))))</f>
        <v>76</v>
      </c>
    </row>
    <row r="43" spans="1:4" x14ac:dyDescent="0.3">
      <c r="A43" t="str">
        <f>IF(COUNTA($A$2:$A42)&gt;$G$3-1,COUNTA($A$2:$A42)+1&amp;'CELLE NOTEVOLI'!$A$9,'CELLE NOTEVOLI'!$A$8)</f>
        <v>42° POSTO</v>
      </c>
      <c r="D43">
        <f>IF($A43="","",IF($A43='CELLE NOTEVOLI'!$A$2,1+($G$5*1)+(($G$3-2)*2)+(2*5),IF($A43='CELLE NOTEVOLI'!$A$3,$D42-5,IF($A43='CELLE NOTEVOLI'!$A$4,$D42-5,IF(OR($A43='CELLE NOTEVOLI'!$A$5,$A43='CELLE NOTEVOLI'!$A$6,$A43='CELLE NOTEVOLI'!$A$7,$A43='CELLE NOTEVOLI'!$A$8),IF($A43=$A42,$D42,$D42-2),$D42-1)))))</f>
        <v>75</v>
      </c>
    </row>
    <row r="44" spans="1:4" x14ac:dyDescent="0.3">
      <c r="A44" t="str">
        <f>IF(COUNTA($A$2:$A43)&gt;$G$3-1,COUNTA($A$2:$A43)+1&amp;'CELLE NOTEVOLI'!$A$9,'CELLE NOTEVOLI'!$A$8)</f>
        <v>43° POSTO</v>
      </c>
      <c r="D44">
        <f>IF($A44="","",IF($A44='CELLE NOTEVOLI'!$A$2,1+($G$5*1)+(($G$3-2)*2)+(2*5),IF($A44='CELLE NOTEVOLI'!$A$3,$D43-5,IF($A44='CELLE NOTEVOLI'!$A$4,$D43-5,IF(OR($A44='CELLE NOTEVOLI'!$A$5,$A44='CELLE NOTEVOLI'!$A$6,$A44='CELLE NOTEVOLI'!$A$7,$A44='CELLE NOTEVOLI'!$A$8),IF($A44=$A43,$D43,$D43-2),$D43-1)))))</f>
        <v>74</v>
      </c>
    </row>
    <row r="45" spans="1:4" x14ac:dyDescent="0.3">
      <c r="A45" t="str">
        <f>IF(COUNTA($A$2:$A44)&gt;$G$3-1,COUNTA($A$2:$A44)+1&amp;'CELLE NOTEVOLI'!$A$9,'CELLE NOTEVOLI'!$A$8)</f>
        <v>44° POSTO</v>
      </c>
      <c r="D45">
        <f>IF($A45="","",IF($A45='CELLE NOTEVOLI'!$A$2,1+($G$5*1)+(($G$3-2)*2)+(2*5),IF($A45='CELLE NOTEVOLI'!$A$3,$D44-5,IF($A45='CELLE NOTEVOLI'!$A$4,$D44-5,IF(OR($A45='CELLE NOTEVOLI'!$A$5,$A45='CELLE NOTEVOLI'!$A$6,$A45='CELLE NOTEVOLI'!$A$7,$A45='CELLE NOTEVOLI'!$A$8),IF($A45=$A44,$D44,$D44-2),$D44-1)))))</f>
        <v>73</v>
      </c>
    </row>
    <row r="46" spans="1:4" x14ac:dyDescent="0.3">
      <c r="A46" t="str">
        <f>IF(COUNTA($A$2:$A45)&gt;$G$3-1,COUNTA($A$2:$A45)+1&amp;'CELLE NOTEVOLI'!$A$9,'CELLE NOTEVOLI'!$A$8)</f>
        <v>45° POSTO</v>
      </c>
      <c r="D46">
        <f>IF($A46="","",IF($A46='CELLE NOTEVOLI'!$A$2,1+($G$5*1)+(($G$3-2)*2)+(2*5),IF($A46='CELLE NOTEVOLI'!$A$3,$D45-5,IF($A46='CELLE NOTEVOLI'!$A$4,$D45-5,IF(OR($A46='CELLE NOTEVOLI'!$A$5,$A46='CELLE NOTEVOLI'!$A$6,$A46='CELLE NOTEVOLI'!$A$7,$A46='CELLE NOTEVOLI'!$A$8),IF($A46=$A45,$D45,$D45-2),$D45-1)))))</f>
        <v>72</v>
      </c>
    </row>
    <row r="47" spans="1:4" x14ac:dyDescent="0.3">
      <c r="A47" t="str">
        <f>IF(COUNTA($A$2:$A46)&gt;$G$3-1,COUNTA($A$2:$A46)+1&amp;'CELLE NOTEVOLI'!$A$9,'CELLE NOTEVOLI'!$A$8)</f>
        <v>46° POSTO</v>
      </c>
      <c r="D47">
        <f>IF($A47="","",IF($A47='CELLE NOTEVOLI'!$A$2,1+($G$5*1)+(($G$3-2)*2)+(2*5),IF($A47='CELLE NOTEVOLI'!$A$3,$D46-5,IF($A47='CELLE NOTEVOLI'!$A$4,$D46-5,IF(OR($A47='CELLE NOTEVOLI'!$A$5,$A47='CELLE NOTEVOLI'!$A$6,$A47='CELLE NOTEVOLI'!$A$7,$A47='CELLE NOTEVOLI'!$A$8),IF($A47=$A46,$D46,$D46-2),$D46-1)))))</f>
        <v>71</v>
      </c>
    </row>
    <row r="48" spans="1:4" x14ac:dyDescent="0.3">
      <c r="A48" t="str">
        <f>IF(COUNTA($A$2:$A47)&gt;$G$3-1,COUNTA($A$2:$A47)+1&amp;'CELLE NOTEVOLI'!$A$9,'CELLE NOTEVOLI'!$A$8)</f>
        <v>47° POSTO</v>
      </c>
      <c r="D48">
        <f>IF($A48="","",IF($A48='CELLE NOTEVOLI'!$A$2,1+($G$5*1)+(($G$3-2)*2)+(2*5),IF($A48='CELLE NOTEVOLI'!$A$3,$D47-5,IF($A48='CELLE NOTEVOLI'!$A$4,$D47-5,IF(OR($A48='CELLE NOTEVOLI'!$A$5,$A48='CELLE NOTEVOLI'!$A$6,$A48='CELLE NOTEVOLI'!$A$7,$A48='CELLE NOTEVOLI'!$A$8),IF($A48=$A47,$D47,$D47-2),$D47-1)))))</f>
        <v>70</v>
      </c>
    </row>
    <row r="49" spans="1:4" x14ac:dyDescent="0.3">
      <c r="A49" t="str">
        <f>IF(COUNTA($A$2:$A48)&gt;$G$3-1,COUNTA($A$2:$A48)+1&amp;'CELLE NOTEVOLI'!$A$9,'CELLE NOTEVOLI'!$A$8)</f>
        <v>48° POSTO</v>
      </c>
      <c r="D49">
        <f>IF($A49="","",IF($A49='CELLE NOTEVOLI'!$A$2,1+($G$5*1)+(($G$3-2)*2)+(2*5),IF($A49='CELLE NOTEVOLI'!$A$3,$D48-5,IF($A49='CELLE NOTEVOLI'!$A$4,$D48-5,IF(OR($A49='CELLE NOTEVOLI'!$A$5,$A49='CELLE NOTEVOLI'!$A$6,$A49='CELLE NOTEVOLI'!$A$7,$A49='CELLE NOTEVOLI'!$A$8),IF($A49=$A48,$D48,$D48-2),$D48-1)))))</f>
        <v>69</v>
      </c>
    </row>
    <row r="50" spans="1:4" x14ac:dyDescent="0.3">
      <c r="A50" t="str">
        <f>IF(COUNTA($A$2:$A49)&gt;$G$3-1,COUNTA($A$2:$A49)+1&amp;'CELLE NOTEVOLI'!$A$9,'CELLE NOTEVOLI'!$A$8)</f>
        <v>49° POSTO</v>
      </c>
      <c r="D50">
        <f>IF($A50="","",IF($A50='CELLE NOTEVOLI'!$A$2,1+($G$5*1)+(($G$3-2)*2)+(2*5),IF($A50='CELLE NOTEVOLI'!$A$3,$D49-5,IF($A50='CELLE NOTEVOLI'!$A$4,$D49-5,IF(OR($A50='CELLE NOTEVOLI'!$A$5,$A50='CELLE NOTEVOLI'!$A$6,$A50='CELLE NOTEVOLI'!$A$7,$A50='CELLE NOTEVOLI'!$A$8),IF($A50=$A49,$D49,$D49-2),$D49-1)))))</f>
        <v>68</v>
      </c>
    </row>
    <row r="51" spans="1:4" x14ac:dyDescent="0.3">
      <c r="A51" t="str">
        <f>IF(COUNTA($A$2:$A50)&gt;$G$3-1,COUNTA($A$2:$A50)+1&amp;'CELLE NOTEVOLI'!$A$9,'CELLE NOTEVOLI'!$A$8)</f>
        <v>50° POSTO</v>
      </c>
      <c r="D51">
        <f>IF($A51="","",IF($A51='CELLE NOTEVOLI'!$A$2,1+($G$5*1)+(($G$3-2)*2)+(2*5),IF($A51='CELLE NOTEVOLI'!$A$3,$D50-5,IF($A51='CELLE NOTEVOLI'!$A$4,$D50-5,IF(OR($A51='CELLE NOTEVOLI'!$A$5,$A51='CELLE NOTEVOLI'!$A$6,$A51='CELLE NOTEVOLI'!$A$7,$A51='CELLE NOTEVOLI'!$A$8),IF($A51=$A50,$D50,$D50-2),$D50-1)))))</f>
        <v>67</v>
      </c>
    </row>
    <row r="52" spans="1:4" x14ac:dyDescent="0.3">
      <c r="A52" t="str">
        <f>IF(COUNTA($A$2:$A51)&gt;$G$3-1,COUNTA($A$2:$A51)+1&amp;'CELLE NOTEVOLI'!$A$9,'CELLE NOTEVOLI'!$A$8)</f>
        <v>51° POSTO</v>
      </c>
      <c r="D52">
        <f>IF($A52="","",IF($A52='CELLE NOTEVOLI'!$A$2,1+($G$5*1)+(($G$3-2)*2)+(2*5),IF($A52='CELLE NOTEVOLI'!$A$3,$D51-5,IF($A52='CELLE NOTEVOLI'!$A$4,$D51-5,IF(OR($A52='CELLE NOTEVOLI'!$A$5,$A52='CELLE NOTEVOLI'!$A$6,$A52='CELLE NOTEVOLI'!$A$7,$A52='CELLE NOTEVOLI'!$A$8),IF($A52=$A51,$D51,$D51-2),$D51-1)))))</f>
        <v>66</v>
      </c>
    </row>
    <row r="53" spans="1:4" x14ac:dyDescent="0.3">
      <c r="A53" t="str">
        <f>IF(COUNTA($A$2:$A52)&gt;$G$3-1,COUNTA($A$2:$A52)+1&amp;'CELLE NOTEVOLI'!$A$9,'CELLE NOTEVOLI'!$A$8)</f>
        <v>52° POSTO</v>
      </c>
      <c r="D53">
        <f>IF($A53="","",IF($A53='CELLE NOTEVOLI'!$A$2,1+($G$5*1)+(($G$3-2)*2)+(2*5),IF($A53='CELLE NOTEVOLI'!$A$3,$D52-5,IF($A53='CELLE NOTEVOLI'!$A$4,$D52-5,IF(OR($A53='CELLE NOTEVOLI'!$A$5,$A53='CELLE NOTEVOLI'!$A$6,$A53='CELLE NOTEVOLI'!$A$7,$A53='CELLE NOTEVOLI'!$A$8),IF($A53=$A52,$D52,$D52-2),$D52-1)))))</f>
        <v>65</v>
      </c>
    </row>
    <row r="54" spans="1:4" x14ac:dyDescent="0.3">
      <c r="A54" t="str">
        <f>IF(COUNTA($A$2:$A53)&gt;$G$3-1,COUNTA($A$2:$A53)+1&amp;'CELLE NOTEVOLI'!$A$9,'CELLE NOTEVOLI'!$A$8)</f>
        <v>53° POSTO</v>
      </c>
      <c r="D54">
        <f>IF($A54="","",IF($A54='CELLE NOTEVOLI'!$A$2,1+($G$5*1)+(($G$3-2)*2)+(2*5),IF($A54='CELLE NOTEVOLI'!$A$3,$D53-5,IF($A54='CELLE NOTEVOLI'!$A$4,$D53-5,IF(OR($A54='CELLE NOTEVOLI'!$A$5,$A54='CELLE NOTEVOLI'!$A$6,$A54='CELLE NOTEVOLI'!$A$7,$A54='CELLE NOTEVOLI'!$A$8),IF($A54=$A53,$D53,$D53-2),$D53-1)))))</f>
        <v>64</v>
      </c>
    </row>
    <row r="55" spans="1:4" x14ac:dyDescent="0.3">
      <c r="A55" t="str">
        <f>IF(COUNTA($A$2:$A54)&gt;$G$3-1,COUNTA($A$2:$A54)+1&amp;'CELLE NOTEVOLI'!$A$9,'CELLE NOTEVOLI'!$A$8)</f>
        <v>54° POSTO</v>
      </c>
      <c r="D55">
        <f>IF($A55="","",IF($A55='CELLE NOTEVOLI'!$A$2,1+($G$5*1)+(($G$3-2)*2)+(2*5),IF($A55='CELLE NOTEVOLI'!$A$3,$D54-5,IF($A55='CELLE NOTEVOLI'!$A$4,$D54-5,IF(OR($A55='CELLE NOTEVOLI'!$A$5,$A55='CELLE NOTEVOLI'!$A$6,$A55='CELLE NOTEVOLI'!$A$7,$A55='CELLE NOTEVOLI'!$A$8),IF($A55=$A54,$D54,$D54-2),$D54-1)))))</f>
        <v>63</v>
      </c>
    </row>
    <row r="56" spans="1:4" x14ac:dyDescent="0.3">
      <c r="A56" t="str">
        <f>IF(COUNTA($A$2:$A55)&gt;$G$3-1,COUNTA($A$2:$A55)+1&amp;'CELLE NOTEVOLI'!$A$9,'CELLE NOTEVOLI'!$A$8)</f>
        <v>55° POSTO</v>
      </c>
      <c r="D56">
        <f>IF($A56="","",IF($A56='CELLE NOTEVOLI'!$A$2,1+($G$5*1)+(($G$3-2)*2)+(2*5),IF($A56='CELLE NOTEVOLI'!$A$3,$D55-5,IF($A56='CELLE NOTEVOLI'!$A$4,$D55-5,IF(OR($A56='CELLE NOTEVOLI'!$A$5,$A56='CELLE NOTEVOLI'!$A$6,$A56='CELLE NOTEVOLI'!$A$7,$A56='CELLE NOTEVOLI'!$A$8),IF($A56=$A55,$D55,$D55-2),$D55-1)))))</f>
        <v>62</v>
      </c>
    </row>
    <row r="57" spans="1:4" x14ac:dyDescent="0.3">
      <c r="A57" t="str">
        <f>IF(COUNTA($A$2:$A56)&gt;$G$3-1,COUNTA($A$2:$A56)+1&amp;'CELLE NOTEVOLI'!$A$9,'CELLE NOTEVOLI'!$A$8)</f>
        <v>56° POSTO</v>
      </c>
      <c r="D57">
        <f>IF($A57="","",IF($A57='CELLE NOTEVOLI'!$A$2,1+($G$5*1)+(($G$3-2)*2)+(2*5),IF($A57='CELLE NOTEVOLI'!$A$3,$D56-5,IF($A57='CELLE NOTEVOLI'!$A$4,$D56-5,IF(OR($A57='CELLE NOTEVOLI'!$A$5,$A57='CELLE NOTEVOLI'!$A$6,$A57='CELLE NOTEVOLI'!$A$7,$A57='CELLE NOTEVOLI'!$A$8),IF($A57=$A56,$D56,$D56-2),$D56-1)))))</f>
        <v>61</v>
      </c>
    </row>
    <row r="58" spans="1:4" x14ac:dyDescent="0.3">
      <c r="A58" t="str">
        <f>IF(COUNTA($A$2:$A57)&gt;$G$3-1,COUNTA($A$2:$A57)+1&amp;'CELLE NOTEVOLI'!$A$9,'CELLE NOTEVOLI'!$A$8)</f>
        <v>57° POSTO</v>
      </c>
      <c r="D58">
        <f>IF($A58="","",IF($A58='CELLE NOTEVOLI'!$A$2,1+($G$5*1)+(($G$3-2)*2)+(2*5),IF($A58='CELLE NOTEVOLI'!$A$3,$D57-5,IF($A58='CELLE NOTEVOLI'!$A$4,$D57-5,IF(OR($A58='CELLE NOTEVOLI'!$A$5,$A58='CELLE NOTEVOLI'!$A$6,$A58='CELLE NOTEVOLI'!$A$7,$A58='CELLE NOTEVOLI'!$A$8),IF($A58=$A57,$D57,$D57-2),$D57-1)))))</f>
        <v>60</v>
      </c>
    </row>
    <row r="59" spans="1:4" x14ac:dyDescent="0.3">
      <c r="A59" t="str">
        <f>IF(COUNTA($A$2:$A58)&gt;$G$3-1,COUNTA($A$2:$A58)+1&amp;'CELLE NOTEVOLI'!$A$9,'CELLE NOTEVOLI'!$A$8)</f>
        <v>58° POSTO</v>
      </c>
      <c r="D59">
        <f>IF($A59="","",IF($A59='CELLE NOTEVOLI'!$A$2,1+($G$5*1)+(($G$3-2)*2)+(2*5),IF($A59='CELLE NOTEVOLI'!$A$3,$D58-5,IF($A59='CELLE NOTEVOLI'!$A$4,$D58-5,IF(OR($A59='CELLE NOTEVOLI'!$A$5,$A59='CELLE NOTEVOLI'!$A$6,$A59='CELLE NOTEVOLI'!$A$7,$A59='CELLE NOTEVOLI'!$A$8),IF($A59=$A58,$D58,$D58-2),$D58-1)))))</f>
        <v>59</v>
      </c>
    </row>
    <row r="60" spans="1:4" x14ac:dyDescent="0.3">
      <c r="A60" t="str">
        <f>IF(COUNTA($A$2:$A59)&gt;$G$3-1,COUNTA($A$2:$A59)+1&amp;'CELLE NOTEVOLI'!$A$9,'CELLE NOTEVOLI'!$A$8)</f>
        <v>59° POSTO</v>
      </c>
      <c r="D60">
        <f>IF($A60="","",IF($A60='CELLE NOTEVOLI'!$A$2,1+($G$5*1)+(($G$3-2)*2)+(2*5),IF($A60='CELLE NOTEVOLI'!$A$3,$D59-5,IF($A60='CELLE NOTEVOLI'!$A$4,$D59-5,IF(OR($A60='CELLE NOTEVOLI'!$A$5,$A60='CELLE NOTEVOLI'!$A$6,$A60='CELLE NOTEVOLI'!$A$7,$A60='CELLE NOTEVOLI'!$A$8),IF($A60=$A59,$D59,$D59-2),$D59-1)))))</f>
        <v>58</v>
      </c>
    </row>
    <row r="61" spans="1:4" x14ac:dyDescent="0.3">
      <c r="A61" t="str">
        <f>IF(COUNTA($A$2:$A60)&gt;$G$3-1,COUNTA($A$2:$A60)+1&amp;'CELLE NOTEVOLI'!$A$9,'CELLE NOTEVOLI'!$A$8)</f>
        <v>60° POSTO</v>
      </c>
      <c r="D61">
        <f>IF($A61="","",IF($A61='CELLE NOTEVOLI'!$A$2,1+($G$5*1)+(($G$3-2)*2)+(2*5),IF($A61='CELLE NOTEVOLI'!$A$3,$D60-5,IF($A61='CELLE NOTEVOLI'!$A$4,$D60-5,IF(OR($A61='CELLE NOTEVOLI'!$A$5,$A61='CELLE NOTEVOLI'!$A$6,$A61='CELLE NOTEVOLI'!$A$7,$A61='CELLE NOTEVOLI'!$A$8),IF($A61=$A60,$D60,$D60-2),$D60-1)))))</f>
        <v>57</v>
      </c>
    </row>
    <row r="62" spans="1:4" x14ac:dyDescent="0.3">
      <c r="A62" t="str">
        <f>IF(COUNTA($A$2:$A61)&gt;$G$3-1,COUNTA($A$2:$A61)+1&amp;'CELLE NOTEVOLI'!$A$9,'CELLE NOTEVOLI'!$A$8)</f>
        <v>61° POSTO</v>
      </c>
      <c r="D62">
        <f>IF($A62="","",IF($A62='CELLE NOTEVOLI'!$A$2,1+($G$5*1)+(($G$3-2)*2)+(2*5),IF($A62='CELLE NOTEVOLI'!$A$3,$D61-5,IF($A62='CELLE NOTEVOLI'!$A$4,$D61-5,IF(OR($A62='CELLE NOTEVOLI'!$A$5,$A62='CELLE NOTEVOLI'!$A$6,$A62='CELLE NOTEVOLI'!$A$7,$A62='CELLE NOTEVOLI'!$A$8),IF($A62=$A61,$D61,$D61-2),$D61-1)))))</f>
        <v>56</v>
      </c>
    </row>
    <row r="63" spans="1:4" x14ac:dyDescent="0.3">
      <c r="A63" t="str">
        <f>IF(COUNTA($A$2:$A62)&gt;$G$3-1,COUNTA($A$2:$A62)+1&amp;'CELLE NOTEVOLI'!$A$9,'CELLE NOTEVOLI'!$A$8)</f>
        <v>62° POSTO</v>
      </c>
      <c r="D63">
        <f>IF($A63="","",IF($A63='CELLE NOTEVOLI'!$A$2,1+($G$5*1)+(($G$3-2)*2)+(2*5),IF($A63='CELLE NOTEVOLI'!$A$3,$D62-5,IF($A63='CELLE NOTEVOLI'!$A$4,$D62-5,IF(OR($A63='CELLE NOTEVOLI'!$A$5,$A63='CELLE NOTEVOLI'!$A$6,$A63='CELLE NOTEVOLI'!$A$7,$A63='CELLE NOTEVOLI'!$A$8),IF($A63=$A62,$D62,$D62-2),$D62-1)))))</f>
        <v>55</v>
      </c>
    </row>
    <row r="64" spans="1:4" x14ac:dyDescent="0.3">
      <c r="A64" t="str">
        <f>IF(COUNTA($A$2:$A63)&gt;$G$3-1,COUNTA($A$2:$A63)+1&amp;'CELLE NOTEVOLI'!$A$9,'CELLE NOTEVOLI'!$A$8)</f>
        <v>63° POSTO</v>
      </c>
      <c r="D64">
        <f>IF($A64="","",IF($A64='CELLE NOTEVOLI'!$A$2,1+($G$5*1)+(($G$3-2)*2)+(2*5),IF($A64='CELLE NOTEVOLI'!$A$3,$D63-5,IF($A64='CELLE NOTEVOLI'!$A$4,$D63-5,IF(OR($A64='CELLE NOTEVOLI'!$A$5,$A64='CELLE NOTEVOLI'!$A$6,$A64='CELLE NOTEVOLI'!$A$7,$A64='CELLE NOTEVOLI'!$A$8),IF($A64=$A63,$D63,$D63-2),$D63-1)))))</f>
        <v>54</v>
      </c>
    </row>
    <row r="65" spans="1:4" x14ac:dyDescent="0.3">
      <c r="A65" t="str">
        <f>IF(COUNTA($A$2:$A64)&gt;$G$3-1,COUNTA($A$2:$A64)+1&amp;'CELLE NOTEVOLI'!$A$9,'CELLE NOTEVOLI'!$A$8)</f>
        <v>64° POSTO</v>
      </c>
      <c r="D65">
        <f>IF($A65="","",IF($A65='CELLE NOTEVOLI'!$A$2,1+($G$5*1)+(($G$3-2)*2)+(2*5),IF($A65='CELLE NOTEVOLI'!$A$3,$D64-5,IF($A65='CELLE NOTEVOLI'!$A$4,$D64-5,IF(OR($A65='CELLE NOTEVOLI'!$A$5,$A65='CELLE NOTEVOLI'!$A$6,$A65='CELLE NOTEVOLI'!$A$7,$A65='CELLE NOTEVOLI'!$A$8),IF($A65=$A64,$D64,$D64-2),$D64-1)))))</f>
        <v>53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'CELLE NOTEVOLI'!$C$2:$C$6</xm:f>
          </x14:formula1>
          <xm:sqref>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10" sqref="A10"/>
    </sheetView>
    <sheetView workbookViewId="1"/>
  </sheetViews>
  <sheetFormatPr defaultRowHeight="14.4" x14ac:dyDescent="0.3"/>
  <cols>
    <col min="1" max="1" width="28.5546875" bestFit="1" customWidth="1"/>
    <col min="3" max="3" width="22.109375" bestFit="1" customWidth="1"/>
  </cols>
  <sheetData>
    <row r="1" spans="1:3" x14ac:dyDescent="0.3">
      <c r="A1" t="s">
        <v>20</v>
      </c>
      <c r="C1" t="s">
        <v>21</v>
      </c>
    </row>
    <row r="2" spans="1:3" x14ac:dyDescent="0.3">
      <c r="A2" t="s">
        <v>12</v>
      </c>
      <c r="C2">
        <v>2</v>
      </c>
    </row>
    <row r="3" spans="1:3" x14ac:dyDescent="0.3">
      <c r="A3" t="s">
        <v>13</v>
      </c>
      <c r="C3">
        <f>C2*2</f>
        <v>4</v>
      </c>
    </row>
    <row r="4" spans="1:3" x14ac:dyDescent="0.3">
      <c r="A4" t="s">
        <v>14</v>
      </c>
      <c r="C4">
        <f t="shared" ref="C4:C6" si="0">C3*2</f>
        <v>8</v>
      </c>
    </row>
    <row r="5" spans="1:3" x14ac:dyDescent="0.3">
      <c r="A5" t="s">
        <v>15</v>
      </c>
      <c r="C5">
        <f t="shared" si="0"/>
        <v>16</v>
      </c>
    </row>
    <row r="6" spans="1:3" x14ac:dyDescent="0.3">
      <c r="A6" t="s">
        <v>3</v>
      </c>
      <c r="C6">
        <f t="shared" si="0"/>
        <v>32</v>
      </c>
    </row>
    <row r="7" spans="1:3" x14ac:dyDescent="0.3">
      <c r="A7" t="s">
        <v>4</v>
      </c>
    </row>
    <row r="8" spans="1:3" x14ac:dyDescent="0.3">
      <c r="A8" t="s">
        <v>5</v>
      </c>
    </row>
    <row r="9" spans="1:3" x14ac:dyDescent="0.3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TABELLONE FINALE</vt:lpstr>
      <vt:lpstr>CELLE NOTEVOLI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2026-07-25T16:04:18Z</dcterms:modified>
</cp:coreProperties>
</file>